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A3551DA5-2508-4639-AE82-1693450245C7}" xr6:coauthVersionLast="47" xr6:coauthVersionMax="47" xr10:uidLastSave="{00000000-0000-0000-0000-000000000000}"/>
  <bookViews>
    <workbookView xWindow="-108" yWindow="-108" windowWidth="23256" windowHeight="12456" activeTab="2" xr2:uid="{218F11D2-F11E-4762-BED1-379FC06BA1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B4" i="2"/>
  <c r="B3" i="2"/>
  <c r="B2" i="2"/>
  <c r="D3" i="2"/>
  <c r="D4" i="2"/>
  <c r="D2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K4" i="1"/>
  <c r="J4" i="1"/>
</calcChain>
</file>

<file path=xl/sharedStrings.xml><?xml version="1.0" encoding="utf-8"?>
<sst xmlns="http://schemas.openxmlformats.org/spreadsheetml/2006/main" count="104" uniqueCount="62">
  <si>
    <t>Student_Data Sheet (Example Data)</t>
  </si>
  <si>
    <t>FullName</t>
  </si>
  <si>
    <t>FirstName</t>
  </si>
  <si>
    <t>LastName</t>
  </si>
  <si>
    <t>RollNo</t>
  </si>
  <si>
    <t>Class</t>
  </si>
  <si>
    <t>City</t>
  </si>
  <si>
    <t>Sub1</t>
  </si>
  <si>
    <t>Sub2</t>
  </si>
  <si>
    <t>Sub3</t>
  </si>
  <si>
    <t>Total</t>
  </si>
  <si>
    <t>Result</t>
  </si>
  <si>
    <t>Ravi kumar</t>
  </si>
  <si>
    <t>Ravi</t>
  </si>
  <si>
    <t xml:space="preserve">Kumar </t>
  </si>
  <si>
    <t xml:space="preserve">12th </t>
  </si>
  <si>
    <t>Delhi</t>
  </si>
  <si>
    <t>Rahul Kumar</t>
  </si>
  <si>
    <t>Ritik Kumar</t>
  </si>
  <si>
    <t>Rakesh Kumar</t>
  </si>
  <si>
    <t>Ravikant Kumar</t>
  </si>
  <si>
    <t>Ravishek Kumar</t>
  </si>
  <si>
    <t>Rahul</t>
  </si>
  <si>
    <t>Ritik</t>
  </si>
  <si>
    <t>Rakesh</t>
  </si>
  <si>
    <t>Ravikant</t>
  </si>
  <si>
    <t>Ravishek</t>
  </si>
  <si>
    <t>Ronit Kumar</t>
  </si>
  <si>
    <t>Ronit</t>
  </si>
  <si>
    <t>Roshan Kumar</t>
  </si>
  <si>
    <t>Shivam Kumar</t>
  </si>
  <si>
    <t>Gautam Kumar</t>
  </si>
  <si>
    <t>Sumit Kumar</t>
  </si>
  <si>
    <t>Sashi Kumar</t>
  </si>
  <si>
    <t>Ganu kumar</t>
  </si>
  <si>
    <t>Ganesh Kumar</t>
  </si>
  <si>
    <t>Laxmi Kumar</t>
  </si>
  <si>
    <t>Navneet Kumar</t>
  </si>
  <si>
    <t>Krish Kumar</t>
  </si>
  <si>
    <t>Roshan</t>
  </si>
  <si>
    <t>Shivam</t>
  </si>
  <si>
    <t>Gautam</t>
  </si>
  <si>
    <t>Sumit</t>
  </si>
  <si>
    <t>Sashi</t>
  </si>
  <si>
    <t>Ganu</t>
  </si>
  <si>
    <t>Ganesh</t>
  </si>
  <si>
    <t>Laxmi</t>
  </si>
  <si>
    <t>Navneet</t>
  </si>
  <si>
    <t>Krish</t>
  </si>
  <si>
    <t>Kumar</t>
  </si>
  <si>
    <t>12th</t>
  </si>
  <si>
    <t>Mumbai</t>
  </si>
  <si>
    <t>Ranchi</t>
  </si>
  <si>
    <t>Patna</t>
  </si>
  <si>
    <t>Ramgarh</t>
  </si>
  <si>
    <t xml:space="preserve">Subject </t>
  </si>
  <si>
    <t>MIN</t>
  </si>
  <si>
    <t>MAX</t>
  </si>
  <si>
    <t>AVERAGE</t>
  </si>
  <si>
    <t xml:space="preserve">Subject 1 </t>
  </si>
  <si>
    <t>Subject 2</t>
  </si>
  <si>
    <t>Subject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</si>
</sst>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Sub1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E3-4631-9EAD-BD87229410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E3-4631-9EAD-BD87229410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E3-4631-9EAD-BD87229410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E3-4631-9EAD-BD87229410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E3-4631-9EAD-BD87229410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E3-4631-9EAD-BD87229410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E3-4631-9EAD-BD87229410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E3-4631-9EAD-BD87229410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E3-4631-9EAD-BD87229410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E3-4631-9EAD-BD87229410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E3-4631-9EAD-BD87229410D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E3-4631-9EAD-BD87229410D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E3-4631-9EAD-BD87229410D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E3-4631-9EAD-BD87229410D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E3-4631-9EAD-BD87229410D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E3-4631-9EAD-BD87229410D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E3-4631-9EAD-BD87229410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Sheet1!$G$4:$G$20</c:f>
              <c:numCache>
                <c:formatCode>General</c:formatCode>
                <c:ptCount val="17"/>
                <c:pt idx="0">
                  <c:v>45</c:v>
                </c:pt>
                <c:pt idx="1">
                  <c:v>45</c:v>
                </c:pt>
                <c:pt idx="2">
                  <c:v>67</c:v>
                </c:pt>
                <c:pt idx="3">
                  <c:v>45</c:v>
                </c:pt>
                <c:pt idx="4">
                  <c:v>45</c:v>
                </c:pt>
                <c:pt idx="5">
                  <c:v>23</c:v>
                </c:pt>
                <c:pt idx="6">
                  <c:v>56</c:v>
                </c:pt>
                <c:pt idx="7">
                  <c:v>45</c:v>
                </c:pt>
                <c:pt idx="8">
                  <c:v>89</c:v>
                </c:pt>
                <c:pt idx="9">
                  <c:v>78</c:v>
                </c:pt>
                <c:pt idx="10">
                  <c:v>90</c:v>
                </c:pt>
                <c:pt idx="11">
                  <c:v>33</c:v>
                </c:pt>
                <c:pt idx="12">
                  <c:v>44</c:v>
                </c:pt>
                <c:pt idx="13">
                  <c:v>34</c:v>
                </c:pt>
                <c:pt idx="14">
                  <c:v>99</c:v>
                </c:pt>
                <c:pt idx="15">
                  <c:v>79</c:v>
                </c:pt>
                <c:pt idx="1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1E3-4631-9EAD-BD87229410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Sub2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90-415A-9EFD-EA731E78F6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90-415A-9EFD-EA731E78F6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90-415A-9EFD-EA731E78F6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90-415A-9EFD-EA731E78F6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90-415A-9EFD-EA731E78F6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90-415A-9EFD-EA731E78F6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B90-415A-9EFD-EA731E78F6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B90-415A-9EFD-EA731E78F6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B90-415A-9EFD-EA731E78F6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B90-415A-9EFD-EA731E78F6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B90-415A-9EFD-EA731E78F6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B90-415A-9EFD-EA731E78F6A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B90-415A-9EFD-EA731E78F6A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B90-415A-9EFD-EA731E78F6A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B90-415A-9EFD-EA731E78F6A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B90-415A-9EFD-EA731E78F6A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B90-415A-9EFD-EA731E78F6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Sheet1!$H$4:$H$20</c:f>
              <c:numCache>
                <c:formatCode>General</c:formatCode>
                <c:ptCount val="17"/>
                <c:pt idx="0">
                  <c:v>67</c:v>
                </c:pt>
                <c:pt idx="1">
                  <c:v>62</c:v>
                </c:pt>
                <c:pt idx="2">
                  <c:v>56</c:v>
                </c:pt>
                <c:pt idx="3">
                  <c:v>78</c:v>
                </c:pt>
                <c:pt idx="4">
                  <c:v>55</c:v>
                </c:pt>
                <c:pt idx="5">
                  <c:v>54</c:v>
                </c:pt>
                <c:pt idx="6">
                  <c:v>45</c:v>
                </c:pt>
                <c:pt idx="7">
                  <c:v>87</c:v>
                </c:pt>
                <c:pt idx="8">
                  <c:v>88</c:v>
                </c:pt>
                <c:pt idx="9">
                  <c:v>44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46</c:v>
                </c:pt>
                <c:pt idx="14">
                  <c:v>51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B90-415A-9EFD-EA731E78F6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Sheet1!$I$3</c:f>
              <c:strCache>
                <c:ptCount val="1"/>
                <c:pt idx="0">
                  <c:v>Sub3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49-4745-AEEC-BB2651D5FC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49-4745-AEEC-BB2651D5FC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49-4745-AEEC-BB2651D5FC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049-4745-AEEC-BB2651D5FC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049-4745-AEEC-BB2651D5FC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049-4745-AEEC-BB2651D5FC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049-4745-AEEC-BB2651D5FC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049-4745-AEEC-BB2651D5FC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049-4745-AEEC-BB2651D5FC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049-4745-AEEC-BB2651D5FC7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049-4745-AEEC-BB2651D5FC7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049-4745-AEEC-BB2651D5FC7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049-4745-AEEC-BB2651D5FC7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049-4745-AEEC-BB2651D5FC7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049-4745-AEEC-BB2651D5FC7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049-4745-AEEC-BB2651D5FC7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049-4745-AEEC-BB2651D5FC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Sheet1!$I$4:$I$20</c:f>
              <c:numCache>
                <c:formatCode>General</c:formatCode>
                <c:ptCount val="17"/>
                <c:pt idx="0">
                  <c:v>65</c:v>
                </c:pt>
                <c:pt idx="1">
                  <c:v>45</c:v>
                </c:pt>
                <c:pt idx="2">
                  <c:v>75</c:v>
                </c:pt>
                <c:pt idx="3">
                  <c:v>65</c:v>
                </c:pt>
                <c:pt idx="4">
                  <c:v>45</c:v>
                </c:pt>
                <c:pt idx="5">
                  <c:v>98</c:v>
                </c:pt>
                <c:pt idx="6">
                  <c:v>89</c:v>
                </c:pt>
                <c:pt idx="7">
                  <c:v>88</c:v>
                </c:pt>
                <c:pt idx="8">
                  <c:v>90</c:v>
                </c:pt>
                <c:pt idx="9">
                  <c:v>75</c:v>
                </c:pt>
                <c:pt idx="10">
                  <c:v>77</c:v>
                </c:pt>
                <c:pt idx="11">
                  <c:v>56</c:v>
                </c:pt>
                <c:pt idx="12">
                  <c:v>78</c:v>
                </c:pt>
                <c:pt idx="13">
                  <c:v>50</c:v>
                </c:pt>
                <c:pt idx="14">
                  <c:v>40</c:v>
                </c:pt>
                <c:pt idx="15">
                  <c:v>30</c:v>
                </c:pt>
                <c:pt idx="1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049-4745-AEEC-BB2651D5FC7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MAX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BF-46BC-8974-F2EF29B66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BF-46BC-8974-F2EF29B66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BF-46BC-8974-F2EF29B66C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Sheet2!$B$2:$B$4</c:f>
              <c:numCache>
                <c:formatCode>General</c:formatCode>
                <c:ptCount val="3"/>
                <c:pt idx="0">
                  <c:v>99</c:v>
                </c:pt>
                <c:pt idx="1">
                  <c:v>88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BF-46BC-8974-F2EF29B66CE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MIN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73-4B17-BF89-59ABB69A45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73-4B17-BF89-59ABB69A45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73-4B17-BF89-59ABB69A45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Sheet2!$C$2:$C$4</c:f>
              <c:numCache>
                <c:formatCode>General</c:formatCode>
                <c:ptCount val="3"/>
                <c:pt idx="0">
                  <c:v>23</c:v>
                </c:pt>
                <c:pt idx="1">
                  <c:v>39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73-4B17-BF89-59ABB69A45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Sheet2!$D$1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FC-4F14-8F64-0F269A50F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FC-4F14-8F64-0F269A50F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FC-4F14-8F64-0F269A50F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Sheet2!$D$2:$D$4</c:f>
              <c:numCache>
                <c:formatCode>General</c:formatCode>
                <c:ptCount val="3"/>
                <c:pt idx="0">
                  <c:v>56.588235294117645</c:v>
                </c:pt>
                <c:pt idx="1">
                  <c:v>57.3125</c:v>
                </c:pt>
                <c:pt idx="2">
                  <c:v>58.133333333333333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FC-4F14-8F64-0F269A50F4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190500</xdr:colOff>
      <xdr:row>12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186A4-24DE-4A9D-BDAC-18117490F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0</xdr:row>
      <xdr:rowOff>0</xdr:rowOff>
    </xdr:from>
    <xdr:to>
      <xdr:col>12</xdr:col>
      <xdr:colOff>510540</xdr:colOff>
      <xdr:row>12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3B49F-DD51-4FD3-97D7-980D078D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449580</xdr:colOff>
      <xdr:row>0</xdr:row>
      <xdr:rowOff>15240</xdr:rowOff>
    </xdr:from>
    <xdr:to>
      <xdr:col>18</xdr:col>
      <xdr:colOff>541020</xdr:colOff>
      <xdr:row>12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15352-4085-494E-9EF4-4AC3C0C8A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13</xdr:row>
      <xdr:rowOff>68580</xdr:rowOff>
    </xdr:from>
    <xdr:to>
      <xdr:col>6</xdr:col>
      <xdr:colOff>45720</xdr:colOff>
      <xdr:row>24</xdr:row>
      <xdr:rowOff>165477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2A2A68-7BB6-4684-ABCB-70A1DB07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327660</xdr:colOff>
      <xdr:row>13</xdr:row>
      <xdr:rowOff>60960</xdr:rowOff>
    </xdr:from>
    <xdr:to>
      <xdr:col>12</xdr:col>
      <xdr:colOff>312420</xdr:colOff>
      <xdr:row>25</xdr:row>
      <xdr:rowOff>40829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1BF3CD-7F6F-41DD-8B1B-1EDE7BBFF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358141</xdr:colOff>
      <xdr:row>13</xdr:row>
      <xdr:rowOff>91440</xdr:rowOff>
    </xdr:from>
    <xdr:to>
      <xdr:col>18</xdr:col>
      <xdr:colOff>213361</xdr:colOff>
      <xdr:row>25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EE0FB9-7C46-4C29-9769-5D923BDFA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3A01-8850-4D1F-9D85-E20301BF6B42}">
  <dimension ref="A1:N20"/>
  <sheetViews>
    <sheetView zoomScale="62" workbookViewId="0">
      <selection activeCell="F25" sqref="F25"/>
    </sheetView>
  </sheetViews>
  <sheetFormatPr defaultRowHeight="14.4" x14ac:dyDescent="0.3"/>
  <cols>
    <col min="1" max="1" width="18.77734375" customWidth="1"/>
    <col min="2" max="2" width="12.77734375" customWidth="1"/>
    <col min="3" max="3" width="13.44140625" customWidth="1"/>
    <col min="4" max="4" width="11" customWidth="1"/>
    <col min="5" max="5" width="11.77734375" customWidth="1"/>
    <col min="6" max="6" width="12.21875" customWidth="1"/>
  </cols>
  <sheetData>
    <row r="1" spans="1:14" ht="23.4" x14ac:dyDescent="0.3">
      <c r="A1" s="1"/>
      <c r="G1" s="1"/>
    </row>
    <row r="2" spans="1:14" ht="25.8" x14ac:dyDescent="0.5">
      <c r="A2" s="1"/>
      <c r="F2" s="5" t="s">
        <v>0</v>
      </c>
      <c r="G2" s="6"/>
      <c r="H2" s="6"/>
      <c r="I2" s="6"/>
      <c r="J2" s="6"/>
      <c r="K2" s="6"/>
    </row>
    <row r="3" spans="1:14" x14ac:dyDescent="0.3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N3" s="7"/>
    </row>
    <row r="4" spans="1:14" x14ac:dyDescent="0.3">
      <c r="A4" t="s">
        <v>12</v>
      </c>
      <c r="B4" t="s">
        <v>13</v>
      </c>
      <c r="C4" t="s">
        <v>14</v>
      </c>
      <c r="D4">
        <v>1</v>
      </c>
      <c r="E4" t="s">
        <v>50</v>
      </c>
      <c r="F4" t="s">
        <v>16</v>
      </c>
      <c r="G4">
        <v>45</v>
      </c>
      <c r="H4">
        <v>67</v>
      </c>
      <c r="I4">
        <v>65</v>
      </c>
      <c r="J4">
        <f>G4+H4+I4</f>
        <v>177</v>
      </c>
      <c r="K4" t="str">
        <f>IF(J4&gt;120,"pass","fail")</f>
        <v>pass</v>
      </c>
    </row>
    <row r="5" spans="1:14" x14ac:dyDescent="0.3">
      <c r="A5" t="s">
        <v>17</v>
      </c>
      <c r="B5" t="s">
        <v>22</v>
      </c>
      <c r="C5" t="s">
        <v>49</v>
      </c>
      <c r="D5">
        <v>2</v>
      </c>
      <c r="E5" t="s">
        <v>50</v>
      </c>
      <c r="F5" t="s">
        <v>16</v>
      </c>
      <c r="G5">
        <v>45</v>
      </c>
      <c r="H5">
        <v>62</v>
      </c>
      <c r="I5">
        <v>45</v>
      </c>
      <c r="J5">
        <f t="shared" ref="J5:J20" si="0">G5+H5+I5</f>
        <v>152</v>
      </c>
      <c r="K5" t="str">
        <f t="shared" ref="K5:K20" si="1">IF(J5&gt;120,"pass","fail")</f>
        <v>pass</v>
      </c>
    </row>
    <row r="6" spans="1:14" x14ac:dyDescent="0.3">
      <c r="A6" t="s">
        <v>18</v>
      </c>
      <c r="B6" t="s">
        <v>23</v>
      </c>
      <c r="C6" t="s">
        <v>49</v>
      </c>
      <c r="D6">
        <v>3</v>
      </c>
      <c r="E6" t="s">
        <v>15</v>
      </c>
      <c r="F6" t="s">
        <v>51</v>
      </c>
      <c r="G6">
        <v>67</v>
      </c>
      <c r="H6">
        <v>56</v>
      </c>
      <c r="I6">
        <v>75</v>
      </c>
      <c r="J6">
        <f t="shared" si="0"/>
        <v>198</v>
      </c>
      <c r="K6" t="str">
        <f t="shared" si="1"/>
        <v>pass</v>
      </c>
    </row>
    <row r="7" spans="1:14" x14ac:dyDescent="0.3">
      <c r="A7" t="s">
        <v>19</v>
      </c>
      <c r="B7" t="s">
        <v>24</v>
      </c>
      <c r="C7" t="s">
        <v>49</v>
      </c>
      <c r="D7">
        <v>4</v>
      </c>
      <c r="E7" t="s">
        <v>50</v>
      </c>
      <c r="F7" t="s">
        <v>51</v>
      </c>
      <c r="G7">
        <v>45</v>
      </c>
      <c r="H7">
        <v>78</v>
      </c>
      <c r="I7">
        <v>65</v>
      </c>
      <c r="J7">
        <f t="shared" si="0"/>
        <v>188</v>
      </c>
      <c r="K7" t="str">
        <f t="shared" si="1"/>
        <v>pass</v>
      </c>
    </row>
    <row r="8" spans="1:14" x14ac:dyDescent="0.3">
      <c r="A8" t="s">
        <v>20</v>
      </c>
      <c r="B8" t="s">
        <v>25</v>
      </c>
      <c r="C8" t="s">
        <v>49</v>
      </c>
      <c r="D8">
        <v>5</v>
      </c>
      <c r="E8" t="s">
        <v>50</v>
      </c>
      <c r="F8" t="s">
        <v>52</v>
      </c>
      <c r="G8">
        <v>45</v>
      </c>
      <c r="H8">
        <v>55</v>
      </c>
      <c r="I8">
        <v>45</v>
      </c>
      <c r="J8">
        <f t="shared" si="0"/>
        <v>145</v>
      </c>
      <c r="K8" t="str">
        <f t="shared" si="1"/>
        <v>pass</v>
      </c>
    </row>
    <row r="9" spans="1:14" x14ac:dyDescent="0.3">
      <c r="A9" t="s">
        <v>21</v>
      </c>
      <c r="B9" t="s">
        <v>26</v>
      </c>
      <c r="C9" t="s">
        <v>49</v>
      </c>
      <c r="D9">
        <v>6</v>
      </c>
      <c r="E9" t="s">
        <v>50</v>
      </c>
      <c r="F9" t="s">
        <v>53</v>
      </c>
      <c r="G9">
        <v>23</v>
      </c>
      <c r="H9">
        <v>54</v>
      </c>
      <c r="I9">
        <v>98</v>
      </c>
      <c r="J9">
        <f t="shared" si="0"/>
        <v>175</v>
      </c>
      <c r="K9" t="str">
        <f t="shared" si="1"/>
        <v>pass</v>
      </c>
    </row>
    <row r="10" spans="1:14" x14ac:dyDescent="0.3">
      <c r="A10" t="s">
        <v>27</v>
      </c>
      <c r="B10" t="s">
        <v>28</v>
      </c>
      <c r="C10" t="s">
        <v>49</v>
      </c>
      <c r="D10">
        <v>7</v>
      </c>
      <c r="E10" t="s">
        <v>50</v>
      </c>
      <c r="F10" t="s">
        <v>53</v>
      </c>
      <c r="G10">
        <v>56</v>
      </c>
      <c r="H10">
        <v>45</v>
      </c>
      <c r="I10">
        <v>89</v>
      </c>
      <c r="J10">
        <f t="shared" si="0"/>
        <v>190</v>
      </c>
      <c r="K10" t="str">
        <f t="shared" si="1"/>
        <v>pass</v>
      </c>
    </row>
    <row r="11" spans="1:14" x14ac:dyDescent="0.3">
      <c r="A11" t="s">
        <v>29</v>
      </c>
      <c r="B11" t="s">
        <v>39</v>
      </c>
      <c r="C11" t="s">
        <v>49</v>
      </c>
      <c r="D11">
        <v>8</v>
      </c>
      <c r="E11" t="s">
        <v>50</v>
      </c>
      <c r="F11" t="s">
        <v>54</v>
      </c>
      <c r="G11">
        <v>45</v>
      </c>
      <c r="H11">
        <v>87</v>
      </c>
      <c r="I11">
        <v>88</v>
      </c>
      <c r="J11">
        <f t="shared" si="0"/>
        <v>220</v>
      </c>
      <c r="K11" t="str">
        <f t="shared" si="1"/>
        <v>pass</v>
      </c>
    </row>
    <row r="12" spans="1:14" x14ac:dyDescent="0.3">
      <c r="A12" t="s">
        <v>30</v>
      </c>
      <c r="B12" t="s">
        <v>40</v>
      </c>
      <c r="C12" t="s">
        <v>49</v>
      </c>
      <c r="D12">
        <v>9</v>
      </c>
      <c r="E12" t="s">
        <v>50</v>
      </c>
      <c r="F12" t="s">
        <v>54</v>
      </c>
      <c r="G12">
        <v>89</v>
      </c>
      <c r="H12">
        <v>88</v>
      </c>
      <c r="I12">
        <v>90</v>
      </c>
      <c r="J12">
        <f t="shared" si="0"/>
        <v>267</v>
      </c>
      <c r="K12" t="str">
        <f t="shared" si="1"/>
        <v>pass</v>
      </c>
    </row>
    <row r="13" spans="1:14" x14ac:dyDescent="0.3">
      <c r="A13" t="s">
        <v>31</v>
      </c>
      <c r="B13" t="s">
        <v>41</v>
      </c>
      <c r="C13" t="s">
        <v>49</v>
      </c>
      <c r="D13">
        <v>10</v>
      </c>
      <c r="E13" t="s">
        <v>50</v>
      </c>
      <c r="F13" t="s">
        <v>52</v>
      </c>
      <c r="G13">
        <v>78</v>
      </c>
      <c r="H13">
        <v>44</v>
      </c>
      <c r="I13">
        <v>75</v>
      </c>
      <c r="J13">
        <f t="shared" si="0"/>
        <v>197</v>
      </c>
      <c r="K13" t="str">
        <f t="shared" si="1"/>
        <v>pass</v>
      </c>
    </row>
    <row r="14" spans="1:14" x14ac:dyDescent="0.3">
      <c r="A14" t="s">
        <v>32</v>
      </c>
      <c r="B14" t="s">
        <v>42</v>
      </c>
      <c r="C14" t="s">
        <v>49</v>
      </c>
      <c r="D14">
        <v>11</v>
      </c>
      <c r="E14" t="s">
        <v>50</v>
      </c>
      <c r="F14" t="s">
        <v>16</v>
      </c>
      <c r="G14">
        <v>90</v>
      </c>
      <c r="H14">
        <v>39</v>
      </c>
      <c r="I14">
        <v>77</v>
      </c>
      <c r="J14">
        <f t="shared" si="0"/>
        <v>206</v>
      </c>
      <c r="K14" t="str">
        <f t="shared" si="1"/>
        <v>pass</v>
      </c>
    </row>
    <row r="15" spans="1:14" x14ac:dyDescent="0.3">
      <c r="A15" t="s">
        <v>33</v>
      </c>
      <c r="B15" t="s">
        <v>43</v>
      </c>
      <c r="C15" t="s">
        <v>49</v>
      </c>
      <c r="D15">
        <v>12</v>
      </c>
      <c r="E15" t="s">
        <v>50</v>
      </c>
      <c r="F15" t="s">
        <v>16</v>
      </c>
      <c r="G15">
        <v>33</v>
      </c>
      <c r="H15">
        <v>41</v>
      </c>
      <c r="I15">
        <v>56</v>
      </c>
      <c r="J15">
        <f t="shared" si="0"/>
        <v>130</v>
      </c>
      <c r="K15" t="str">
        <f t="shared" si="1"/>
        <v>pass</v>
      </c>
    </row>
    <row r="16" spans="1:14" x14ac:dyDescent="0.3">
      <c r="A16" t="s">
        <v>34</v>
      </c>
      <c r="B16" t="s">
        <v>44</v>
      </c>
      <c r="C16" t="s">
        <v>49</v>
      </c>
      <c r="D16">
        <v>13</v>
      </c>
      <c r="E16" t="s">
        <v>50</v>
      </c>
      <c r="F16" t="s">
        <v>51</v>
      </c>
      <c r="G16">
        <v>44</v>
      </c>
      <c r="H16">
        <v>43</v>
      </c>
      <c r="I16">
        <v>78</v>
      </c>
      <c r="J16">
        <f t="shared" si="0"/>
        <v>165</v>
      </c>
      <c r="K16" t="str">
        <f t="shared" si="1"/>
        <v>pass</v>
      </c>
    </row>
    <row r="17" spans="1:11" x14ac:dyDescent="0.3">
      <c r="A17" t="s">
        <v>35</v>
      </c>
      <c r="B17" t="s">
        <v>45</v>
      </c>
      <c r="C17" t="s">
        <v>49</v>
      </c>
      <c r="D17">
        <v>14</v>
      </c>
      <c r="E17" t="s">
        <v>50</v>
      </c>
      <c r="F17" t="s">
        <v>53</v>
      </c>
      <c r="G17">
        <v>34</v>
      </c>
      <c r="H17">
        <v>46</v>
      </c>
      <c r="I17">
        <v>50</v>
      </c>
      <c r="J17">
        <f t="shared" si="0"/>
        <v>130</v>
      </c>
      <c r="K17" t="str">
        <f t="shared" si="1"/>
        <v>pass</v>
      </c>
    </row>
    <row r="18" spans="1:11" x14ac:dyDescent="0.3">
      <c r="A18" t="s">
        <v>36</v>
      </c>
      <c r="B18" t="s">
        <v>46</v>
      </c>
      <c r="C18" t="s">
        <v>49</v>
      </c>
      <c r="D18">
        <v>15</v>
      </c>
      <c r="E18" t="s">
        <v>50</v>
      </c>
      <c r="F18" t="s">
        <v>53</v>
      </c>
      <c r="G18">
        <v>99</v>
      </c>
      <c r="H18">
        <v>51</v>
      </c>
      <c r="I18">
        <v>40</v>
      </c>
      <c r="J18">
        <f t="shared" si="0"/>
        <v>190</v>
      </c>
      <c r="K18" t="str">
        <f t="shared" si="1"/>
        <v>pass</v>
      </c>
    </row>
    <row r="19" spans="1:11" x14ac:dyDescent="0.3">
      <c r="A19" t="s">
        <v>37</v>
      </c>
      <c r="B19" t="s">
        <v>47</v>
      </c>
      <c r="C19" t="s">
        <v>49</v>
      </c>
      <c r="D19">
        <v>16</v>
      </c>
      <c r="E19" t="s">
        <v>50</v>
      </c>
      <c r="F19" t="s">
        <v>52</v>
      </c>
      <c r="G19">
        <v>79</v>
      </c>
      <c r="H19">
        <v>56</v>
      </c>
      <c r="I19">
        <v>30</v>
      </c>
      <c r="J19">
        <f t="shared" si="0"/>
        <v>165</v>
      </c>
      <c r="K19" t="str">
        <f t="shared" si="1"/>
        <v>pass</v>
      </c>
    </row>
    <row r="20" spans="1:11" x14ac:dyDescent="0.3">
      <c r="A20" t="s">
        <v>38</v>
      </c>
      <c r="B20" t="s">
        <v>48</v>
      </c>
      <c r="C20" t="s">
        <v>49</v>
      </c>
      <c r="D20">
        <v>17</v>
      </c>
      <c r="E20" t="s">
        <v>50</v>
      </c>
      <c r="F20" t="s">
        <v>54</v>
      </c>
      <c r="G20">
        <v>45</v>
      </c>
      <c r="H20">
        <v>58</v>
      </c>
      <c r="I20">
        <v>56</v>
      </c>
      <c r="J20">
        <f t="shared" si="0"/>
        <v>159</v>
      </c>
      <c r="K20" t="str">
        <f t="shared" si="1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2EAB-C412-44A7-99D1-F02A703D67BF}">
  <dimension ref="A1:D4"/>
  <sheetViews>
    <sheetView zoomScale="65" workbookViewId="0">
      <selection activeCell="K18" sqref="K18"/>
    </sheetView>
  </sheetViews>
  <sheetFormatPr defaultRowHeight="14.4" x14ac:dyDescent="0.3"/>
  <cols>
    <col min="1" max="1" width="12.21875" customWidth="1"/>
    <col min="2" max="2" width="10.77734375" customWidth="1"/>
    <col min="3" max="3" width="10.33203125" customWidth="1"/>
    <col min="4" max="4" width="9.88671875" customWidth="1"/>
  </cols>
  <sheetData>
    <row r="1" spans="1:4" x14ac:dyDescent="0.3">
      <c r="A1" s="4" t="s">
        <v>55</v>
      </c>
      <c r="B1" s="4" t="s">
        <v>57</v>
      </c>
      <c r="C1" s="4" t="s">
        <v>56</v>
      </c>
      <c r="D1" s="4" t="s">
        <v>58</v>
      </c>
    </row>
    <row r="2" spans="1:4" x14ac:dyDescent="0.3">
      <c r="A2" t="s">
        <v>59</v>
      </c>
      <c r="B2">
        <f>MAX(Sheet1!G4:G20)</f>
        <v>99</v>
      </c>
      <c r="C2">
        <f>MIN(Sheet1!G4:G20)</f>
        <v>23</v>
      </c>
      <c r="D2">
        <f>AVERAGE(Sheet1!G4:G20)</f>
        <v>56.588235294117645</v>
      </c>
    </row>
    <row r="3" spans="1:4" x14ac:dyDescent="0.3">
      <c r="A3" t="s">
        <v>60</v>
      </c>
      <c r="B3">
        <f>MAX(Sheet1!H4:H20)</f>
        <v>88</v>
      </c>
      <c r="C3">
        <f>MIN(Sheet1!H4:H20)</f>
        <v>39</v>
      </c>
      <c r="D3">
        <f>AVERAGE(Sheet1!G5:G21)</f>
        <v>57.3125</v>
      </c>
    </row>
    <row r="4" spans="1:4" x14ac:dyDescent="0.3">
      <c r="A4" t="s">
        <v>61</v>
      </c>
      <c r="B4">
        <f>MAX(Sheet1!I4:I20)</f>
        <v>98</v>
      </c>
      <c r="C4">
        <f>MIN(Sheet1!I4:I20)</f>
        <v>30</v>
      </c>
      <c r="D4">
        <f>AVERAGE(Sheet1!G6:G22)</f>
        <v>58.133333333333333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0509-100E-4F19-8AC6-F4AED67F6DA0}">
  <dimension ref="A1"/>
  <sheetViews>
    <sheetView tabSelected="1" zoomScale="91" workbookViewId="0">
      <selection activeCell="L28" sqref="L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kumaranirudh0309@gmail.com</dc:creator>
  <cp:lastModifiedBy>Aditya Kumar</cp:lastModifiedBy>
  <dcterms:created xsi:type="dcterms:W3CDTF">2025-12-29T03:44:39Z</dcterms:created>
  <dcterms:modified xsi:type="dcterms:W3CDTF">2026-01-02T18:34:58Z</dcterms:modified>
</cp:coreProperties>
</file>